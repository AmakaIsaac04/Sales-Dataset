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F412D4DC-405D-41A9-9BF3-FA32E8C7370E}" xr6:coauthVersionLast="47" xr6:coauthVersionMax="47" xr10:uidLastSave="{00000000-0000-0000-0000-000000000000}"/>
  <bookViews>
    <workbookView xWindow="-110" yWindow="-110" windowWidth="19420" windowHeight="10300" xr2:uid="{7BC05848-0CBB-4ADD-B354-529E1B2FFD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22" i="1"/>
  <c r="D21" i="1"/>
  <c r="D20" i="1"/>
  <c r="D19" i="1"/>
  <c r="F8" i="1"/>
  <c r="F3" i="1"/>
  <c r="F4" i="1"/>
  <c r="F5" i="1"/>
  <c r="F6" i="1"/>
  <c r="F7" i="1"/>
  <c r="F9" i="1"/>
  <c r="F10" i="1"/>
  <c r="F11" i="1"/>
  <c r="F12" i="1"/>
  <c r="F13" i="1"/>
  <c r="F14" i="1"/>
  <c r="F15" i="1"/>
  <c r="F16" i="1"/>
  <c r="F17" i="1"/>
  <c r="F18" i="1"/>
  <c r="E11" i="1"/>
  <c r="E4" i="1"/>
  <c r="E5" i="1"/>
  <c r="E6" i="1"/>
  <c r="E7" i="1"/>
  <c r="E8" i="1"/>
  <c r="E9" i="1"/>
  <c r="E10" i="1"/>
  <c r="E12" i="1"/>
  <c r="E13" i="1"/>
  <c r="E14" i="1"/>
  <c r="E15" i="1"/>
  <c r="E16" i="1"/>
  <c r="E17" i="1"/>
  <c r="E18" i="1"/>
  <c r="E3" i="1"/>
  <c r="E2" i="1"/>
  <c r="E23" i="1" s="1"/>
  <c r="F2" i="1" l="1"/>
  <c r="E22" i="1"/>
  <c r="E20" i="1"/>
  <c r="E21" i="1"/>
  <c r="E19" i="1"/>
  <c r="F22" i="1" l="1"/>
  <c r="F23" i="1"/>
  <c r="F19" i="1"/>
  <c r="F21" i="1"/>
  <c r="F20" i="1"/>
</calcChain>
</file>

<file path=xl/sharedStrings.xml><?xml version="1.0" encoding="utf-8"?>
<sst xmlns="http://schemas.openxmlformats.org/spreadsheetml/2006/main" count="29" uniqueCount="29">
  <si>
    <t>Amaka</t>
  </si>
  <si>
    <t>Chinedu</t>
  </si>
  <si>
    <t>Ifeayin</t>
  </si>
  <si>
    <t>Emeka</t>
  </si>
  <si>
    <t>Ore</t>
  </si>
  <si>
    <t>Vicky</t>
  </si>
  <si>
    <t>Bolu</t>
  </si>
  <si>
    <t>Esther</t>
  </si>
  <si>
    <t>Glory</t>
  </si>
  <si>
    <t>Peace</t>
  </si>
  <si>
    <t>Employee ID</t>
  </si>
  <si>
    <t>Name</t>
  </si>
  <si>
    <t>Hourly Wage</t>
  </si>
  <si>
    <t>Hours Worked</t>
  </si>
  <si>
    <t>Taxable Income</t>
  </si>
  <si>
    <t>Grace</t>
  </si>
  <si>
    <t>Ednut</t>
  </si>
  <si>
    <t>Yusuf</t>
  </si>
  <si>
    <t>Lawal</t>
  </si>
  <si>
    <t>Jamiu</t>
  </si>
  <si>
    <t>Freddy</t>
  </si>
  <si>
    <t>Kunle</t>
  </si>
  <si>
    <t>Taxes to be paid</t>
  </si>
  <si>
    <t>Tax Rate</t>
  </si>
  <si>
    <t>Total:</t>
  </si>
  <si>
    <t>Lowest:</t>
  </si>
  <si>
    <t>Highest:</t>
  </si>
  <si>
    <t>Number of Employees:</t>
  </si>
  <si>
    <t>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</si>
</sst>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Summary</a:t>
            </a:r>
            <a:r>
              <a:rPr lang="en-US" baseline="0"/>
              <a:t> Chart.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Hours Worked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Sheet1!$A$2:$B$18</c:f>
              <c:multiLvlStrCache>
                <c:ptCount val="17"/>
                <c:lvl>
                  <c:pt idx="0">
                    <c:v>Amaka</c:v>
                  </c:pt>
                  <c:pt idx="1">
                    <c:v>Chinedu</c:v>
                  </c:pt>
                  <c:pt idx="2">
                    <c:v>Ifeayin</c:v>
                  </c:pt>
                  <c:pt idx="3">
                    <c:v>Emeka</c:v>
                  </c:pt>
                  <c:pt idx="4">
                    <c:v>Ore</c:v>
                  </c:pt>
                  <c:pt idx="5">
                    <c:v>Vicky</c:v>
                  </c:pt>
                  <c:pt idx="6">
                    <c:v>Bolu</c:v>
                  </c:pt>
                  <c:pt idx="7">
                    <c:v>Esther</c:v>
                  </c:pt>
                  <c:pt idx="8">
                    <c:v>Glory</c:v>
                  </c:pt>
                  <c:pt idx="9">
                    <c:v>Peace</c:v>
                  </c:pt>
                  <c:pt idx="10">
                    <c:v>Grace</c:v>
                  </c:pt>
                  <c:pt idx="11">
                    <c:v>Ednut</c:v>
                  </c:pt>
                  <c:pt idx="12">
                    <c:v>Yusuf</c:v>
                  </c:pt>
                  <c:pt idx="13">
                    <c:v>Lawal</c:v>
                  </c:pt>
                  <c:pt idx="14">
                    <c:v>Jamiu</c:v>
                  </c:pt>
                  <c:pt idx="15">
                    <c:v>Freddy</c:v>
                  </c:pt>
                  <c:pt idx="16">
                    <c:v>Kunle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</c:lvl>
              </c:multiLvlStrCache>
            </c:multiLvlStrRef>
          </c:cat>
          <c:val>
            <c:numRef>
              <c:f>Sheet1!$D$2:$D$18</c:f>
              <c:numCache>
                <c:formatCode>General</c:formatCode>
                <c:ptCount val="17"/>
                <c:pt idx="0">
                  <c:v>160</c:v>
                </c:pt>
                <c:pt idx="1">
                  <c:v>158</c:v>
                </c:pt>
                <c:pt idx="2">
                  <c:v>127</c:v>
                </c:pt>
                <c:pt idx="3">
                  <c:v>234</c:v>
                </c:pt>
                <c:pt idx="4">
                  <c:v>789</c:v>
                </c:pt>
                <c:pt idx="5">
                  <c:v>678</c:v>
                </c:pt>
                <c:pt idx="6">
                  <c:v>86</c:v>
                </c:pt>
                <c:pt idx="7">
                  <c:v>654</c:v>
                </c:pt>
                <c:pt idx="8">
                  <c:v>543</c:v>
                </c:pt>
                <c:pt idx="9">
                  <c:v>909</c:v>
                </c:pt>
                <c:pt idx="10">
                  <c:v>235</c:v>
                </c:pt>
                <c:pt idx="11">
                  <c:v>965</c:v>
                </c:pt>
                <c:pt idx="12">
                  <c:v>864</c:v>
                </c:pt>
                <c:pt idx="13">
                  <c:v>345</c:v>
                </c:pt>
                <c:pt idx="14">
                  <c:v>678</c:v>
                </c:pt>
                <c:pt idx="15">
                  <c:v>578</c:v>
                </c:pt>
                <c:pt idx="16">
                  <c:v>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BE-4FA4-AAC5-FFBC5A6A513B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Taxable Income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Sheet1!$A$2:$B$18</c:f>
              <c:multiLvlStrCache>
                <c:ptCount val="17"/>
                <c:lvl>
                  <c:pt idx="0">
                    <c:v>Amaka</c:v>
                  </c:pt>
                  <c:pt idx="1">
                    <c:v>Chinedu</c:v>
                  </c:pt>
                  <c:pt idx="2">
                    <c:v>Ifeayin</c:v>
                  </c:pt>
                  <c:pt idx="3">
                    <c:v>Emeka</c:v>
                  </c:pt>
                  <c:pt idx="4">
                    <c:v>Ore</c:v>
                  </c:pt>
                  <c:pt idx="5">
                    <c:v>Vicky</c:v>
                  </c:pt>
                  <c:pt idx="6">
                    <c:v>Bolu</c:v>
                  </c:pt>
                  <c:pt idx="7">
                    <c:v>Esther</c:v>
                  </c:pt>
                  <c:pt idx="8">
                    <c:v>Glory</c:v>
                  </c:pt>
                  <c:pt idx="9">
                    <c:v>Peace</c:v>
                  </c:pt>
                  <c:pt idx="10">
                    <c:v>Grace</c:v>
                  </c:pt>
                  <c:pt idx="11">
                    <c:v>Ednut</c:v>
                  </c:pt>
                  <c:pt idx="12">
                    <c:v>Yusuf</c:v>
                  </c:pt>
                  <c:pt idx="13">
                    <c:v>Lawal</c:v>
                  </c:pt>
                  <c:pt idx="14">
                    <c:v>Jamiu</c:v>
                  </c:pt>
                  <c:pt idx="15">
                    <c:v>Freddy</c:v>
                  </c:pt>
                  <c:pt idx="16">
                    <c:v>Kunle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</c:lvl>
              </c:multiLvlStrCache>
            </c:multiLvlStrRef>
          </c:cat>
          <c:val>
            <c:numRef>
              <c:f>Sheet1!$E$2:$E$18</c:f>
              <c:numCache>
                <c:formatCode>General</c:formatCode>
                <c:ptCount val="17"/>
                <c:pt idx="0">
                  <c:v>2480</c:v>
                </c:pt>
                <c:pt idx="1">
                  <c:v>2449</c:v>
                </c:pt>
                <c:pt idx="2">
                  <c:v>1968.5</c:v>
                </c:pt>
                <c:pt idx="3">
                  <c:v>3627</c:v>
                </c:pt>
                <c:pt idx="4">
                  <c:v>12229.5</c:v>
                </c:pt>
                <c:pt idx="5">
                  <c:v>10509</c:v>
                </c:pt>
                <c:pt idx="6">
                  <c:v>1333</c:v>
                </c:pt>
                <c:pt idx="7">
                  <c:v>10137</c:v>
                </c:pt>
                <c:pt idx="8">
                  <c:v>8416.5</c:v>
                </c:pt>
                <c:pt idx="9">
                  <c:v>14089.5</c:v>
                </c:pt>
                <c:pt idx="10">
                  <c:v>3642.5</c:v>
                </c:pt>
                <c:pt idx="11">
                  <c:v>14957.5</c:v>
                </c:pt>
                <c:pt idx="12">
                  <c:v>13392</c:v>
                </c:pt>
                <c:pt idx="13">
                  <c:v>5347.5</c:v>
                </c:pt>
                <c:pt idx="14">
                  <c:v>10509</c:v>
                </c:pt>
                <c:pt idx="15">
                  <c:v>8959</c:v>
                </c:pt>
                <c:pt idx="16">
                  <c:v>15112.5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BE-4FA4-AAC5-FFBC5A6A513B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Taxes to be paid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Sheet1!$A$2:$B$18</c:f>
              <c:multiLvlStrCache>
                <c:ptCount val="17"/>
                <c:lvl>
                  <c:pt idx="0">
                    <c:v>Amaka</c:v>
                  </c:pt>
                  <c:pt idx="1">
                    <c:v>Chinedu</c:v>
                  </c:pt>
                  <c:pt idx="2">
                    <c:v>Ifeayin</c:v>
                  </c:pt>
                  <c:pt idx="3">
                    <c:v>Emeka</c:v>
                  </c:pt>
                  <c:pt idx="4">
                    <c:v>Ore</c:v>
                  </c:pt>
                  <c:pt idx="5">
                    <c:v>Vicky</c:v>
                  </c:pt>
                  <c:pt idx="6">
                    <c:v>Bolu</c:v>
                  </c:pt>
                  <c:pt idx="7">
                    <c:v>Esther</c:v>
                  </c:pt>
                  <c:pt idx="8">
                    <c:v>Glory</c:v>
                  </c:pt>
                  <c:pt idx="9">
                    <c:v>Peace</c:v>
                  </c:pt>
                  <c:pt idx="10">
                    <c:v>Grace</c:v>
                  </c:pt>
                  <c:pt idx="11">
                    <c:v>Ednut</c:v>
                  </c:pt>
                  <c:pt idx="12">
                    <c:v>Yusuf</c:v>
                  </c:pt>
                  <c:pt idx="13">
                    <c:v>Lawal</c:v>
                  </c:pt>
                  <c:pt idx="14">
                    <c:v>Jamiu</c:v>
                  </c:pt>
                  <c:pt idx="15">
                    <c:v>Freddy</c:v>
                  </c:pt>
                  <c:pt idx="16">
                    <c:v>Kunle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</c:lvl>
              </c:multiLvlStrCache>
            </c:multiLvlStrRef>
          </c:cat>
          <c:val>
            <c:numRef>
              <c:f>Sheet1!$F$2:$F$18</c:f>
              <c:numCache>
                <c:formatCode>General</c:formatCode>
                <c:ptCount val="17"/>
                <c:pt idx="0">
                  <c:v>173.60000000000002</c:v>
                </c:pt>
                <c:pt idx="1">
                  <c:v>171.43</c:v>
                </c:pt>
                <c:pt idx="2">
                  <c:v>137.79500000000002</c:v>
                </c:pt>
                <c:pt idx="3">
                  <c:v>253.89000000000001</c:v>
                </c:pt>
                <c:pt idx="4">
                  <c:v>856.06500000000005</c:v>
                </c:pt>
                <c:pt idx="5">
                  <c:v>735.63000000000011</c:v>
                </c:pt>
                <c:pt idx="6">
                  <c:v>93.31</c:v>
                </c:pt>
                <c:pt idx="7">
                  <c:v>709.59</c:v>
                </c:pt>
                <c:pt idx="8">
                  <c:v>589.15500000000009</c:v>
                </c:pt>
                <c:pt idx="9">
                  <c:v>986.2650000000001</c:v>
                </c:pt>
                <c:pt idx="10">
                  <c:v>254.97500000000002</c:v>
                </c:pt>
                <c:pt idx="11">
                  <c:v>1047.0250000000001</c:v>
                </c:pt>
                <c:pt idx="12">
                  <c:v>937.44</c:v>
                </c:pt>
                <c:pt idx="13">
                  <c:v>374.32500000000005</c:v>
                </c:pt>
                <c:pt idx="14">
                  <c:v>735.63000000000011</c:v>
                </c:pt>
                <c:pt idx="15">
                  <c:v>627.13000000000011</c:v>
                </c:pt>
                <c:pt idx="16">
                  <c:v>1057.875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BE-4FA4-AAC5-FFBC5A6A513B}"/>
            </c:ext>
          </c:extLst>
        </c:ser>
        <c:ser>
          <c:idx val="3"/>
          <c:order val="3"/>
          <c:tx>
            <c:strRef>
              <c:f>Sheet1!$G$1</c:f>
              <c:strCache>
                <c:ptCount val="1"/>
                <c:pt idx="0">
                  <c:v>Tax Rate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Sheet1!$A$2:$B$18</c:f>
              <c:multiLvlStrCache>
                <c:ptCount val="17"/>
                <c:lvl>
                  <c:pt idx="0">
                    <c:v>Amaka</c:v>
                  </c:pt>
                  <c:pt idx="1">
                    <c:v>Chinedu</c:v>
                  </c:pt>
                  <c:pt idx="2">
                    <c:v>Ifeayin</c:v>
                  </c:pt>
                  <c:pt idx="3">
                    <c:v>Emeka</c:v>
                  </c:pt>
                  <c:pt idx="4">
                    <c:v>Ore</c:v>
                  </c:pt>
                  <c:pt idx="5">
                    <c:v>Vicky</c:v>
                  </c:pt>
                  <c:pt idx="6">
                    <c:v>Bolu</c:v>
                  </c:pt>
                  <c:pt idx="7">
                    <c:v>Esther</c:v>
                  </c:pt>
                  <c:pt idx="8">
                    <c:v>Glory</c:v>
                  </c:pt>
                  <c:pt idx="9">
                    <c:v>Peace</c:v>
                  </c:pt>
                  <c:pt idx="10">
                    <c:v>Grace</c:v>
                  </c:pt>
                  <c:pt idx="11">
                    <c:v>Ednut</c:v>
                  </c:pt>
                  <c:pt idx="12">
                    <c:v>Yusuf</c:v>
                  </c:pt>
                  <c:pt idx="13">
                    <c:v>Lawal</c:v>
                  </c:pt>
                  <c:pt idx="14">
                    <c:v>Jamiu</c:v>
                  </c:pt>
                  <c:pt idx="15">
                    <c:v>Freddy</c:v>
                  </c:pt>
                  <c:pt idx="16">
                    <c:v>Kunle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</c:lvl>
              </c:multiLvlStrCache>
            </c:multiLvlStrRef>
          </c:cat>
          <c:val>
            <c:numRef>
              <c:f>Sheet1!$G$2:$G$18</c:f>
              <c:numCache>
                <c:formatCode>General</c:formatCode>
                <c:ptCount val="17"/>
              </c:numCache>
            </c:numRef>
          </c:val>
          <c:extLst>
            <c:ext xmlns:c16="http://schemas.microsoft.com/office/drawing/2014/chart" uri="{C3380CC4-5D6E-409C-BE32-E72D297353CC}">
              <c16:uniqueId val="{00000003-3CBE-4FA4-AAC5-FFBC5A6A5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450928"/>
        <c:axId val="432449488"/>
      </c:barChart>
      <c:catAx>
        <c:axId val="43245092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449488"/>
        <c:crosses val="autoZero"/>
        <c:auto val="1"/>
        <c:lblAlgn val="ctr"/>
        <c:lblOffset val="100"/>
        <c:noMultiLvlLbl val="0"/>
      </c:catAx>
      <c:valAx>
        <c:axId val="43244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45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70554</xdr:rowOff>
    </xdr:from>
    <xdr:to>
      <xdr:col>20</xdr:col>
      <xdr:colOff>8820</xdr:colOff>
      <xdr:row>25</xdr:row>
      <xdr:rowOff>35278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B735C8-86A4-5DDB-3D5E-589C2A01C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30000-BD08-4664-855A-C9745117396A}">
  <dimension ref="A1:H23"/>
  <sheetViews>
    <sheetView tabSelected="1" topLeftCell="B1" zoomScale="72" zoomScaleNormal="72" workbookViewId="0">
      <selection activeCell="F14" sqref="F14"/>
    </sheetView>
  </sheetViews>
  <sheetFormatPr defaultRowHeight="14.5" x14ac:dyDescent="0.35"/>
  <cols>
    <col min="1" max="1" width="11.36328125" bestFit="1" customWidth="1"/>
    <col min="2" max="2" width="8" bestFit="1" customWidth="1"/>
    <col min="3" max="3" width="20.26953125" style="1" bestFit="1" customWidth="1"/>
    <col min="4" max="4" width="20.26953125" bestFit="1" customWidth="1"/>
    <col min="5" max="5" width="15.453125" style="2" bestFit="1" customWidth="1"/>
    <col min="6" max="6" width="16.1796875" style="2" bestFit="1" customWidth="1"/>
    <col min="7" max="7" width="8.1796875" bestFit="1" customWidth="1"/>
    <col min="8" max="8" width="4.90625" bestFit="1" customWidth="1"/>
  </cols>
  <sheetData>
    <row r="1" spans="1:8" s="3" customFormat="1" x14ac:dyDescent="0.3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22</v>
      </c>
      <c r="G1" s="3" t="s">
        <v>23</v>
      </c>
      <c r="H1" s="3">
        <v>7.0000000000000007E-2</v>
      </c>
    </row>
    <row r="2" spans="1:8" x14ac:dyDescent="0.35">
      <c r="A2">
        <v>1</v>
      </c>
      <c r="B2" t="s">
        <v>0</v>
      </c>
      <c r="C2">
        <v>15.5</v>
      </c>
      <c r="D2">
        <v>160</v>
      </c>
      <c r="E2">
        <f>C2*D2</f>
        <v>2480</v>
      </c>
      <c r="F2">
        <f>E2*$H$1</f>
        <v>173.60000000000002</v>
      </c>
    </row>
    <row r="3" spans="1:8" x14ac:dyDescent="0.35">
      <c r="A3">
        <v>2</v>
      </c>
      <c r="B3" t="s">
        <v>1</v>
      </c>
      <c r="C3">
        <v>15.5</v>
      </c>
      <c r="D3">
        <v>158</v>
      </c>
      <c r="E3">
        <f>C3*D3</f>
        <v>2449</v>
      </c>
      <c r="F3">
        <f t="shared" ref="F3:F18" si="0">E3*$H$1</f>
        <v>171.43</v>
      </c>
    </row>
    <row r="4" spans="1:8" x14ac:dyDescent="0.35">
      <c r="A4">
        <v>3</v>
      </c>
      <c r="B4" t="s">
        <v>2</v>
      </c>
      <c r="C4">
        <v>15.5</v>
      </c>
      <c r="D4">
        <v>127</v>
      </c>
      <c r="E4">
        <f t="shared" ref="E4:E18" si="1">C4*D4</f>
        <v>1968.5</v>
      </c>
      <c r="F4">
        <f t="shared" si="0"/>
        <v>137.79500000000002</v>
      </c>
    </row>
    <row r="5" spans="1:8" x14ac:dyDescent="0.35">
      <c r="A5">
        <v>4</v>
      </c>
      <c r="B5" t="s">
        <v>3</v>
      </c>
      <c r="C5">
        <v>15.5</v>
      </c>
      <c r="D5">
        <v>234</v>
      </c>
      <c r="E5">
        <f t="shared" si="1"/>
        <v>3627</v>
      </c>
      <c r="F5">
        <f t="shared" si="0"/>
        <v>253.89000000000001</v>
      </c>
    </row>
    <row r="6" spans="1:8" x14ac:dyDescent="0.35">
      <c r="A6">
        <v>5</v>
      </c>
      <c r="B6" t="s">
        <v>4</v>
      </c>
      <c r="C6">
        <v>15.5</v>
      </c>
      <c r="D6">
        <v>789</v>
      </c>
      <c r="E6">
        <f t="shared" si="1"/>
        <v>12229.5</v>
      </c>
      <c r="F6">
        <f t="shared" si="0"/>
        <v>856.06500000000005</v>
      </c>
    </row>
    <row r="7" spans="1:8" x14ac:dyDescent="0.35">
      <c r="A7">
        <v>6</v>
      </c>
      <c r="B7" t="s">
        <v>5</v>
      </c>
      <c r="C7">
        <v>15.5</v>
      </c>
      <c r="D7">
        <v>678</v>
      </c>
      <c r="E7">
        <f t="shared" si="1"/>
        <v>10509</v>
      </c>
      <c r="F7">
        <f t="shared" si="0"/>
        <v>735.63000000000011</v>
      </c>
    </row>
    <row r="8" spans="1:8" x14ac:dyDescent="0.35">
      <c r="A8">
        <v>7</v>
      </c>
      <c r="B8" t="s">
        <v>6</v>
      </c>
      <c r="C8">
        <v>15.5</v>
      </c>
      <c r="D8">
        <v>86</v>
      </c>
      <c r="E8">
        <f t="shared" si="1"/>
        <v>1333</v>
      </c>
      <c r="F8">
        <f>E8*$H$1</f>
        <v>93.31</v>
      </c>
    </row>
    <row r="9" spans="1:8" x14ac:dyDescent="0.35">
      <c r="A9">
        <v>8</v>
      </c>
      <c r="B9" t="s">
        <v>7</v>
      </c>
      <c r="C9">
        <v>15.5</v>
      </c>
      <c r="D9">
        <v>654</v>
      </c>
      <c r="E9">
        <f t="shared" si="1"/>
        <v>10137</v>
      </c>
      <c r="F9">
        <f t="shared" si="0"/>
        <v>709.59</v>
      </c>
    </row>
    <row r="10" spans="1:8" x14ac:dyDescent="0.35">
      <c r="A10">
        <v>9</v>
      </c>
      <c r="B10" t="s">
        <v>8</v>
      </c>
      <c r="C10">
        <v>15.5</v>
      </c>
      <c r="D10">
        <v>543</v>
      </c>
      <c r="E10">
        <f t="shared" si="1"/>
        <v>8416.5</v>
      </c>
      <c r="F10">
        <f t="shared" si="0"/>
        <v>589.15500000000009</v>
      </c>
    </row>
    <row r="11" spans="1:8" x14ac:dyDescent="0.35">
      <c r="A11">
        <v>10</v>
      </c>
      <c r="B11" t="s">
        <v>9</v>
      </c>
      <c r="C11">
        <v>15.5</v>
      </c>
      <c r="D11">
        <v>909</v>
      </c>
      <c r="E11">
        <f>C11*D11</f>
        <v>14089.5</v>
      </c>
      <c r="F11">
        <f t="shared" si="0"/>
        <v>986.2650000000001</v>
      </c>
    </row>
    <row r="12" spans="1:8" x14ac:dyDescent="0.35">
      <c r="A12">
        <v>11</v>
      </c>
      <c r="B12" t="s">
        <v>15</v>
      </c>
      <c r="C12">
        <v>15.5</v>
      </c>
      <c r="D12">
        <v>235</v>
      </c>
      <c r="E12">
        <f t="shared" si="1"/>
        <v>3642.5</v>
      </c>
      <c r="F12">
        <f t="shared" si="0"/>
        <v>254.97500000000002</v>
      </c>
    </row>
    <row r="13" spans="1:8" x14ac:dyDescent="0.35">
      <c r="A13">
        <v>12</v>
      </c>
      <c r="B13" t="s">
        <v>16</v>
      </c>
      <c r="C13">
        <v>15.5</v>
      </c>
      <c r="D13">
        <v>965</v>
      </c>
      <c r="E13">
        <f t="shared" si="1"/>
        <v>14957.5</v>
      </c>
      <c r="F13">
        <f t="shared" si="0"/>
        <v>1047.0250000000001</v>
      </c>
    </row>
    <row r="14" spans="1:8" x14ac:dyDescent="0.35">
      <c r="A14">
        <v>13</v>
      </c>
      <c r="B14" t="s">
        <v>17</v>
      </c>
      <c r="C14">
        <v>15.5</v>
      </c>
      <c r="D14">
        <v>864</v>
      </c>
      <c r="E14">
        <f t="shared" si="1"/>
        <v>13392</v>
      </c>
      <c r="F14">
        <f t="shared" si="0"/>
        <v>937.44</v>
      </c>
    </row>
    <row r="15" spans="1:8" x14ac:dyDescent="0.35">
      <c r="A15">
        <v>14</v>
      </c>
      <c r="B15" t="s">
        <v>18</v>
      </c>
      <c r="C15">
        <v>15.5</v>
      </c>
      <c r="D15">
        <v>345</v>
      </c>
      <c r="E15">
        <f t="shared" si="1"/>
        <v>5347.5</v>
      </c>
      <c r="F15">
        <f t="shared" si="0"/>
        <v>374.32500000000005</v>
      </c>
    </row>
    <row r="16" spans="1:8" x14ac:dyDescent="0.35">
      <c r="A16">
        <v>15</v>
      </c>
      <c r="B16" t="s">
        <v>19</v>
      </c>
      <c r="C16">
        <v>15.5</v>
      </c>
      <c r="D16">
        <v>678</v>
      </c>
      <c r="E16">
        <f t="shared" si="1"/>
        <v>10509</v>
      </c>
      <c r="F16">
        <f t="shared" si="0"/>
        <v>735.63000000000011</v>
      </c>
    </row>
    <row r="17" spans="1:6" x14ac:dyDescent="0.35">
      <c r="A17">
        <v>16</v>
      </c>
      <c r="B17" t="s">
        <v>20</v>
      </c>
      <c r="C17">
        <v>15.5</v>
      </c>
      <c r="D17">
        <v>578</v>
      </c>
      <c r="E17">
        <f t="shared" si="1"/>
        <v>8959</v>
      </c>
      <c r="F17">
        <f t="shared" si="0"/>
        <v>627.13000000000011</v>
      </c>
    </row>
    <row r="18" spans="1:6" x14ac:dyDescent="0.35">
      <c r="A18">
        <v>17</v>
      </c>
      <c r="B18" t="s">
        <v>21</v>
      </c>
      <c r="C18">
        <v>15.5</v>
      </c>
      <c r="D18">
        <v>975</v>
      </c>
      <c r="E18">
        <f t="shared" si="1"/>
        <v>15112.5</v>
      </c>
      <c r="F18">
        <f t="shared" si="0"/>
        <v>1057.875</v>
      </c>
    </row>
    <row r="19" spans="1:6" x14ac:dyDescent="0.35">
      <c r="C19" t="s">
        <v>24</v>
      </c>
      <c r="D19">
        <f>SUM(D2:D18)</f>
        <v>8978</v>
      </c>
      <c r="E19">
        <f t="shared" ref="E19:F19" si="2">SUM(E2:E18)</f>
        <v>139159</v>
      </c>
      <c r="F19">
        <f t="shared" si="2"/>
        <v>9741.130000000001</v>
      </c>
    </row>
    <row r="20" spans="1:6" x14ac:dyDescent="0.35">
      <c r="C20" t="s">
        <v>28</v>
      </c>
      <c r="D20">
        <f>AVERAGE(D2:D18)</f>
        <v>528.11764705882354</v>
      </c>
      <c r="E20">
        <f t="shared" ref="E20:F20" si="3">AVERAGE(E2:E18)</f>
        <v>8185.8235294117649</v>
      </c>
      <c r="F20">
        <f t="shared" si="3"/>
        <v>573.00764705882364</v>
      </c>
    </row>
    <row r="21" spans="1:6" x14ac:dyDescent="0.35">
      <c r="C21" t="s">
        <v>26</v>
      </c>
      <c r="D21">
        <f>MAX(D2:D18)</f>
        <v>975</v>
      </c>
      <c r="E21">
        <f t="shared" ref="E21:F21" si="4">MAX(E2:E18)</f>
        <v>15112.5</v>
      </c>
      <c r="F21">
        <f t="shared" si="4"/>
        <v>1057.875</v>
      </c>
    </row>
    <row r="22" spans="1:6" x14ac:dyDescent="0.35">
      <c r="C22" t="s">
        <v>25</v>
      </c>
      <c r="D22">
        <f>MIN(D2:D18)</f>
        <v>86</v>
      </c>
      <c r="E22">
        <f t="shared" ref="E22:F22" si="5">MIN(E2:E18)</f>
        <v>1333</v>
      </c>
      <c r="F22">
        <f t="shared" si="5"/>
        <v>93.31</v>
      </c>
    </row>
    <row r="23" spans="1:6" x14ac:dyDescent="0.35">
      <c r="C23" t="s">
        <v>27</v>
      </c>
      <c r="D23">
        <f>COUNT(D2:D18)</f>
        <v>17</v>
      </c>
      <c r="E23">
        <f t="shared" ref="E23:F23" si="6">COUNT(E2:E18)</f>
        <v>17</v>
      </c>
      <c r="F23">
        <f t="shared" si="6"/>
        <v>17</v>
      </c>
    </row>
  </sheetData>
  <pageMargins left="0.7" right="0.7" top="0.75" bottom="0.75" header="0.3" footer="0.3"/>
  <pageSetup scale="5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2026-01-02T20:56:03Z</cp:lastPrinted>
  <dcterms:created xsi:type="dcterms:W3CDTF">2025-12-02T13:39:00Z</dcterms:created>
  <dcterms:modified xsi:type="dcterms:W3CDTF">2026-01-02T21:09:07Z</dcterms:modified>
</cp:coreProperties>
</file>